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nsactions" sheetId="2" r:id="rId6"/>
    <sheet state="visible" name="Budgets" sheetId="3" r:id="rId7"/>
  </sheets>
  <definedNames/>
  <calcPr/>
</workbook>
</file>

<file path=xl/sharedStrings.xml><?xml version="1.0" encoding="utf-8"?>
<sst xmlns="http://schemas.openxmlformats.org/spreadsheetml/2006/main" count="91" uniqueCount="66">
  <si>
    <t>id</t>
  </si>
  <si>
    <t>data</t>
  </si>
  <si>
    <t>title</t>
  </si>
  <si>
    <t>type</t>
  </si>
  <si>
    <t>linked_category</t>
  </si>
  <si>
    <t>category</t>
  </si>
  <si>
    <t>amount</t>
  </si>
  <si>
    <t>description</t>
  </si>
  <si>
    <t>period_start</t>
  </si>
  <si>
    <t>created</t>
  </si>
  <si>
    <t>period_end</t>
  </si>
  <si>
    <t>updated</t>
  </si>
  <si>
    <t>b382be401e714508b247</t>
  </si>
  <si>
    <t>b380517fafda456991f0</t>
  </si>
  <si>
    <t>Main</t>
  </si>
  <si>
    <t>Hiburan</t>
  </si>
  <si>
    <t>income</t>
  </si>
  <si>
    <t>Gaji</t>
  </si>
  <si>
    <t>2026-07-23T03:15:38.281Z</t>
  </si>
  <si>
    <t>2026-07-23T04:58:16.860Z</t>
  </si>
  <si>
    <t>2026-07-23T09:22:08.447Z</t>
  </si>
  <si>
    <t>018e34895b6e41f19d3d</t>
  </si>
  <si>
    <t>expense</t>
  </si>
  <si>
    <t>5936d4b92a5145a7bea0</t>
  </si>
  <si>
    <t>Transportasi</t>
  </si>
  <si>
    <t>Main Keluar</t>
  </si>
  <si>
    <t>2026-07-23T08:09:26.498Z</t>
  </si>
  <si>
    <t>Transport</t>
  </si>
  <si>
    <t>b59724cad0e1429e910f</t>
  </si>
  <si>
    <t>2026-07-24T06:27:07.593Z</t>
  </si>
  <si>
    <t>Liburan</t>
  </si>
  <si>
    <t>2026-07-24T05:49:54.933Z</t>
  </si>
  <si>
    <t>1fba99d940704a3e9ad0</t>
  </si>
  <si>
    <t>Main Ke Jepang</t>
  </si>
  <si>
    <t>2026-07-24T06:25:37.330Z</t>
  </si>
  <si>
    <t>47afeadbeb3641a28465</t>
  </si>
  <si>
    <t>Gajian</t>
  </si>
  <si>
    <t>2026-07-24T06:28:36.416Z</t>
  </si>
  <si>
    <t>78dc8bd2202c4eab84fe</t>
  </si>
  <si>
    <t>Naik Kereta</t>
  </si>
  <si>
    <t>2026-07-24T06:29:55.547Z</t>
  </si>
  <si>
    <t>FINANCIAL DASHBOARD</t>
  </si>
  <si>
    <t>OVERVIEW</t>
  </si>
  <si>
    <t>Total Income</t>
  </si>
  <si>
    <t>Total Expenses</t>
  </si>
  <si>
    <t>Current Balance</t>
  </si>
  <si>
    <t>ACTIVE BUDGET TRACKER</t>
  </si>
  <si>
    <t>Budget Title</t>
  </si>
  <si>
    <t>Category</t>
  </si>
  <si>
    <t>Start Date</t>
  </si>
  <si>
    <t>End Date</t>
  </si>
  <si>
    <t>Allocated</t>
  </si>
  <si>
    <t>Spent</t>
  </si>
  <si>
    <t>Remaining</t>
  </si>
  <si>
    <t>Status</t>
  </si>
  <si>
    <t>EXPENSE BREAKDOWN</t>
  </si>
  <si>
    <t>Total Spent</t>
  </si>
  <si>
    <t>Makanan</t>
  </si>
  <si>
    <t>Belanja</t>
  </si>
  <si>
    <t>Kesehatan</t>
  </si>
  <si>
    <t>Tagihan</t>
  </si>
  <si>
    <t>Pendidikan</t>
  </si>
  <si>
    <t>Freelance</t>
  </si>
  <si>
    <t>Investasi</t>
  </si>
  <si>
    <t>Hadiah</t>
  </si>
  <si>
    <t>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</si>
</sst>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Rp #,##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2C3E50"/>
      <name val="Arial"/>
    </font>
    <font>
      <b/>
      <sz val="14.0"/>
      <color rgb="FF34495E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CF0F1"/>
        <bgColor rgb="FFECF0F1"/>
      </patternFill>
    </fill>
    <fill>
      <patternFill patternType="solid">
        <fgColor rgb="FF2C3E50"/>
        <bgColor rgb="FF2C3E5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5" fontId="6" numFmtId="164" xfId="0" applyAlignment="1" applyBorder="1" applyFont="1" applyNumberFormat="1">
      <alignment horizontal="center" vertical="center"/>
    </xf>
    <xf borderId="1" fillId="5" fontId="6" numFmtId="165" xfId="0" applyAlignment="1" applyBorder="1" applyFont="1" applyNumberFormat="1">
      <alignment horizontal="center" vertical="center"/>
    </xf>
    <xf borderId="1" fillId="3" fontId="6" numFmtId="165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6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3"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5700"/>
      </font>
      <fill>
        <patternFill patternType="solid">
          <fgColor rgb="FFFFEB9C"/>
          <bgColor rgb="FFFFEB9C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Expenses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Dashboard!$A$25:$A$36</c:f>
            </c:strRef>
          </c:cat>
          <c:val>
            <c:numRef>
              <c:f>Dashboard!$B$25:$B$36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23</xdr:row>
      <xdr:rowOff>0</xdr:rowOff>
    </xdr:from>
    <xdr:ext cx="4676775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7.5"/>
    <col customWidth="1" min="3" max="3" width="15.13"/>
    <col customWidth="1" min="4" max="4" width="13.13"/>
    <col customWidth="1" min="5" max="8" width="15.75"/>
    <col customWidth="1" min="9" max="26" width="7.63"/>
  </cols>
  <sheetData>
    <row r="1">
      <c r="A1" s="4" t="s">
        <v>41</v>
      </c>
    </row>
    <row r="4">
      <c r="A4" s="5" t="s">
        <v>42</v>
      </c>
    </row>
    <row r="5">
      <c r="A5" s="6" t="s">
        <v>43</v>
      </c>
      <c r="B5" s="6" t="s">
        <v>44</v>
      </c>
      <c r="C5" s="6" t="s">
        <v>45</v>
      </c>
    </row>
    <row r="6">
      <c r="A6" s="7">
        <f>SUMIF(Transactions!C:C, "income", Transactions!E:E)</f>
        <v>80000000</v>
      </c>
      <c r="B6" s="7">
        <f>SUMIF(Transactions!C:C, "expense", Transactions!E:E)</f>
        <v>25650000</v>
      </c>
      <c r="C6" s="7">
        <f>A6 - B6</f>
        <v>54350000</v>
      </c>
    </row>
    <row r="9">
      <c r="A9" s="5" t="s">
        <v>46</v>
      </c>
    </row>
    <row r="10">
      <c r="A10" s="8" t="s">
        <v>47</v>
      </c>
      <c r="B10" s="8" t="s">
        <v>48</v>
      </c>
      <c r="C10" s="8" t="s">
        <v>49</v>
      </c>
      <c r="D10" s="8" t="s">
        <v>50</v>
      </c>
      <c r="E10" s="8" t="s">
        <v>51</v>
      </c>
      <c r="F10" s="8" t="s">
        <v>52</v>
      </c>
      <c r="G10" s="8" t="s">
        <v>53</v>
      </c>
      <c r="H10" s="8" t="s">
        <v>54</v>
      </c>
    </row>
    <row r="11">
      <c r="A11" s="9" t="str">
        <f>IF(Budgets!B2="","",Budgets!B2)</f>
        <v>Main</v>
      </c>
      <c r="B11" s="9" t="str">
        <f>IF(Budgets!C2="","",Budgets!C2)</f>
        <v>Hiburan</v>
      </c>
      <c r="C11" s="10">
        <f>IF(Budgets!E2="","",Budgets!E2)</f>
        <v>46204</v>
      </c>
      <c r="D11" s="10">
        <f>IF(Budgets!F2="","",Budgets!F2)</f>
        <v>46234</v>
      </c>
      <c r="E11" s="11">
        <f>IF(Budgets!D2="","",Budgets!D2)</f>
        <v>50000000</v>
      </c>
      <c r="F11" s="11">
        <f>IF(A11="","",SUMIFS(Transactions!E:E, Transactions!D:D, B11, Transactions!C:C, "expense", Transactions!B:B, "&gt;="&amp;C11, Transactions!B:B, "&lt;="&amp;D11))</f>
        <v>25400000</v>
      </c>
      <c r="G11" s="11">
        <f t="shared" ref="G11:G20" si="1">IF(A11="","",E11-F11)</f>
        <v>24600000</v>
      </c>
      <c r="H11" s="9" t="str">
        <f t="shared" ref="H11:H20" si="2">IF(A11="","",IF(G11&lt;0, "OVER BUDGET", IF(G11&lt;=E11*0.2, "LOW", "GOOD")))</f>
        <v>GOOD</v>
      </c>
    </row>
    <row r="12">
      <c r="A12" s="12" t="str">
        <f>IF(Budgets!B3="","",Budgets!B3)</f>
        <v>Transportasi</v>
      </c>
      <c r="B12" s="12" t="str">
        <f>IF(Budgets!C3="","",Budgets!C3)</f>
        <v>Transport</v>
      </c>
      <c r="C12" s="13">
        <f>IF(Budgets!E3="","",Budgets!E3)</f>
        <v>46204</v>
      </c>
      <c r="D12" s="13">
        <f>IF(Budgets!F3="","",Budgets!F3)</f>
        <v>46234</v>
      </c>
      <c r="E12" s="14">
        <f>IF(Budgets!D3="","",Budgets!D3)</f>
        <v>5000000</v>
      </c>
      <c r="F12" s="15">
        <f>IF(A12="","",SUMIFS(Transactions!E:E, Transactions!D:D, B12, Transactions!C:C, "expense", Transactions!B:B, "&gt;="&amp;C12, Transactions!B:B, "&lt;="&amp;D12))</f>
        <v>250000</v>
      </c>
      <c r="G12" s="15">
        <f t="shared" si="1"/>
        <v>4750000</v>
      </c>
      <c r="H12" s="16" t="str">
        <f t="shared" si="2"/>
        <v>GOOD</v>
      </c>
    </row>
    <row r="13">
      <c r="A13" s="9" t="str">
        <f>IF(Budgets!B4="","",Budgets!B4)</f>
        <v/>
      </c>
      <c r="B13" s="9" t="str">
        <f>IF(Budgets!C4="","",Budgets!C4)</f>
        <v/>
      </c>
      <c r="C13" s="9" t="str">
        <f>IF(Budgets!E4="","",Budgets!E4)</f>
        <v/>
      </c>
      <c r="D13" s="9" t="str">
        <f>IF(Budgets!F4="","",Budgets!F4)</f>
        <v/>
      </c>
      <c r="E13" s="11" t="str">
        <f>IF(Budgets!D4="","",Budgets!D4)</f>
        <v/>
      </c>
      <c r="F13" s="11" t="str">
        <f>IF(A13="","",SUMIFS(Transactions!E:E, Transactions!D:D, B13, Transactions!C:C, "expense", Transactions!B:B, "&gt;="&amp;C13, Transactions!B:B, "&lt;="&amp;D13))</f>
        <v/>
      </c>
      <c r="G13" s="11" t="str">
        <f t="shared" si="1"/>
        <v/>
      </c>
      <c r="H13" s="9" t="str">
        <f t="shared" si="2"/>
        <v/>
      </c>
    </row>
    <row r="14">
      <c r="A14" s="12" t="str">
        <f>IF(Budgets!B5="","",Budgets!B5)</f>
        <v/>
      </c>
      <c r="B14" s="12" t="str">
        <f>IF(Budgets!C5="","",Budgets!C5)</f>
        <v/>
      </c>
      <c r="C14" s="12" t="str">
        <f>IF(Budgets!E5="","",Budgets!E5)</f>
        <v/>
      </c>
      <c r="D14" s="12" t="str">
        <f>IF(Budgets!F5="","",Budgets!F5)</f>
        <v/>
      </c>
      <c r="E14" s="14" t="str">
        <f>IF(Budgets!D5="","",Budgets!D5)</f>
        <v/>
      </c>
      <c r="F14" s="15" t="str">
        <f>IF(A14="","",SUMIFS(Transactions!E:E, Transactions!D:D, B14, Transactions!C:C, "expense", Transactions!B:B, "&gt;="&amp;C14, Transactions!B:B, "&lt;="&amp;D14))</f>
        <v/>
      </c>
      <c r="G14" s="15" t="str">
        <f t="shared" si="1"/>
        <v/>
      </c>
      <c r="H14" s="16" t="str">
        <f t="shared" si="2"/>
        <v/>
      </c>
    </row>
    <row r="15">
      <c r="A15" s="9" t="str">
        <f>IF(Budgets!B6="","",Budgets!B6)</f>
        <v/>
      </c>
      <c r="B15" s="9" t="str">
        <f>IF(Budgets!C6="","",Budgets!C6)</f>
        <v/>
      </c>
      <c r="C15" s="9" t="str">
        <f>IF(Budgets!E6="","",Budgets!E6)</f>
        <v/>
      </c>
      <c r="D15" s="9" t="str">
        <f>IF(Budgets!F6="","",Budgets!F6)</f>
        <v/>
      </c>
      <c r="E15" s="11" t="str">
        <f>IF(Budgets!D6="","",Budgets!D6)</f>
        <v/>
      </c>
      <c r="F15" s="11" t="str">
        <f>IF(A15="","",SUMIFS(Transactions!E:E, Transactions!D:D, B15, Transactions!C:C, "expense", Transactions!B:B, "&gt;="&amp;C15, Transactions!B:B, "&lt;="&amp;D15))</f>
        <v/>
      </c>
      <c r="G15" s="11" t="str">
        <f t="shared" si="1"/>
        <v/>
      </c>
      <c r="H15" s="9" t="str">
        <f t="shared" si="2"/>
        <v/>
      </c>
    </row>
    <row r="16">
      <c r="A16" s="12" t="str">
        <f>IF(Budgets!B7="","",Budgets!B77)</f>
        <v/>
      </c>
      <c r="B16" s="12" t="str">
        <f>IF(Budgets!C7="","",Budgets!C77)</f>
        <v/>
      </c>
      <c r="C16" s="12" t="str">
        <f>IF(Budgets!E7="","",Budgets!E7)</f>
        <v/>
      </c>
      <c r="D16" s="12" t="str">
        <f>IF(Budgets!F7="","",Budgets!F7)</f>
        <v/>
      </c>
      <c r="E16" s="14" t="str">
        <f>IF(Budgets!D7="","",Budgets!D7)</f>
        <v/>
      </c>
      <c r="F16" s="15" t="str">
        <f>IF(A16="","",SUMIFS(Transactions!E:E, Transactions!D:D, B16, Transactions!C:C, "expense", Transactions!B:B, "&gt;="&amp;C16, Transactions!B:B, "&lt;="&amp;D16))</f>
        <v/>
      </c>
      <c r="G16" s="15" t="str">
        <f t="shared" si="1"/>
        <v/>
      </c>
      <c r="H16" s="16" t="str">
        <f t="shared" si="2"/>
        <v/>
      </c>
    </row>
    <row r="17">
      <c r="A17" s="9" t="str">
        <f>IF(Budgets!B8="","",Budgets!B8)</f>
        <v/>
      </c>
      <c r="B17" s="9" t="str">
        <f>IF(Budgets!C8="","",Budgets!C8)</f>
        <v/>
      </c>
      <c r="C17" s="9" t="str">
        <f>IF(Budgets!E8="","",Budgets!E8)</f>
        <v/>
      </c>
      <c r="D17" s="9" t="str">
        <f>IF(Budgets!F8="","",Budgets!F8)</f>
        <v/>
      </c>
      <c r="E17" s="11" t="str">
        <f>IF(Budgets!D8="","",Budgets!D8)</f>
        <v/>
      </c>
      <c r="F17" s="11" t="str">
        <f>IF(A17="","",SUMIFS(Transactions!E:E, Transactions!D:D, B17, Transactions!C:C, "expense", Transactions!B:B, "&gt;="&amp;C17, Transactions!B:B, "&lt;="&amp;D17))</f>
        <v/>
      </c>
      <c r="G17" s="11" t="str">
        <f t="shared" si="1"/>
        <v/>
      </c>
      <c r="H17" s="9" t="str">
        <f t="shared" si="2"/>
        <v/>
      </c>
    </row>
    <row r="18">
      <c r="A18" s="12" t="str">
        <f>IF(Budgets!B9="","",Budgets!B9)</f>
        <v/>
      </c>
      <c r="B18" s="12" t="str">
        <f>IF(Budgets!C9="","",Budgets!C9)</f>
        <v/>
      </c>
      <c r="C18" s="12" t="str">
        <f>IF(Budgets!E9="","",Budgets!E9)</f>
        <v/>
      </c>
      <c r="D18" s="12" t="str">
        <f>IF(Budgets!F9="","",Budgets!F9)</f>
        <v/>
      </c>
      <c r="E18" s="14" t="str">
        <f>IF(Budgets!D9="","",Budgets!D9)</f>
        <v/>
      </c>
      <c r="F18" s="15" t="str">
        <f>IF(A18="","",SUMIFS(Transactions!E:E, Transactions!D:D, B18, Transactions!C:C, "expense", Transactions!B:B, "&gt;="&amp;C18, Transactions!B:B, "&lt;="&amp;D18))</f>
        <v/>
      </c>
      <c r="G18" s="15" t="str">
        <f t="shared" si="1"/>
        <v/>
      </c>
      <c r="H18" s="16" t="str">
        <f t="shared" si="2"/>
        <v/>
      </c>
    </row>
    <row r="19">
      <c r="A19" s="9" t="str">
        <f>IF(Budgets!B10="","",Budgets!B10)</f>
        <v/>
      </c>
      <c r="B19" s="9" t="str">
        <f>IF(Budgets!C10="","",Budgets!C10)</f>
        <v/>
      </c>
      <c r="C19" s="9" t="str">
        <f>IF(Budgets!E10="","",Budgets!E10)</f>
        <v/>
      </c>
      <c r="D19" s="9" t="str">
        <f>IF(Budgets!F10="","",Budgets!F10)</f>
        <v/>
      </c>
      <c r="E19" s="11" t="str">
        <f>IF(Budgets!D10="","",Budgets!D10)</f>
        <v/>
      </c>
      <c r="F19" s="11" t="str">
        <f>IF(A19="","",SUMIFS(Transactions!E:E, Transactions!D:D, B19, Transactions!C:C, "expense", Transactions!B:B, "&gt;="&amp;C19, Transactions!B:B, "&lt;="&amp;D19))</f>
        <v/>
      </c>
      <c r="G19" s="11" t="str">
        <f t="shared" si="1"/>
        <v/>
      </c>
      <c r="H19" s="9" t="str">
        <f t="shared" si="2"/>
        <v/>
      </c>
    </row>
    <row r="20">
      <c r="A20" s="12" t="str">
        <f>IF(Budgets!B11="","",Budgets!B11)</f>
        <v/>
      </c>
      <c r="B20" s="12" t="str">
        <f>IF(Budgets!C11="","",Budgets!C11)</f>
        <v/>
      </c>
      <c r="C20" s="12" t="str">
        <f>IF(Budgets!E11="","",Budgets!E11)</f>
        <v/>
      </c>
      <c r="D20" s="12" t="str">
        <f>IF(Budgets!F11="","",Budgets!F11)</f>
        <v/>
      </c>
      <c r="E20" s="14" t="str">
        <f>IF(Budgets!D11="","",Budgets!D11)</f>
        <v/>
      </c>
      <c r="F20" s="15" t="str">
        <f>IF(A20="","",SUMIFS(Transactions!E:E, Transactions!D:D, B20, Transactions!C:C, "expense", Transactions!B:B, "&gt;="&amp;C20, Transactions!B:B, "&lt;="&amp;D20))</f>
        <v/>
      </c>
      <c r="G20" s="15" t="str">
        <f t="shared" si="1"/>
        <v/>
      </c>
      <c r="H20" s="16" t="str">
        <f t="shared" si="2"/>
        <v/>
      </c>
    </row>
    <row r="21"/>
    <row r="22"/>
    <row r="23">
      <c r="A23" s="5" t="s">
        <v>55</v>
      </c>
    </row>
    <row r="24">
      <c r="A24" s="8" t="s">
        <v>48</v>
      </c>
      <c r="B24" s="8" t="s">
        <v>56</v>
      </c>
    </row>
    <row r="25">
      <c r="A25" s="17" t="s">
        <v>57</v>
      </c>
      <c r="B25" s="18">
        <f>SUMIFS(Transactions!E:E, Transactions!C:C, "expense", Transactions!D:D, A25)</f>
        <v>0</v>
      </c>
    </row>
    <row r="26">
      <c r="A26" s="17" t="s">
        <v>27</v>
      </c>
      <c r="B26" s="18">
        <f>SUMIFS(Transactions!E:E, Transactions!C:C, "expense", Transactions!D:D, A26)</f>
        <v>250000</v>
      </c>
    </row>
    <row r="27">
      <c r="A27" s="17" t="s">
        <v>58</v>
      </c>
      <c r="B27" s="18">
        <f>SUMIFS(Transactions!E:E, Transactions!C:C, "expense", Transactions!D:D, A27)</f>
        <v>0</v>
      </c>
    </row>
    <row r="28">
      <c r="A28" s="17" t="s">
        <v>15</v>
      </c>
      <c r="B28" s="18">
        <f>SUMIFS(Transactions!E:E, Transactions!C:C, "expense", Transactions!D:D, A28)</f>
        <v>25400000</v>
      </c>
    </row>
    <row r="29">
      <c r="A29" s="17" t="s">
        <v>59</v>
      </c>
      <c r="B29" s="18">
        <f>SUMIFS(Transactions!E:E, Transactions!C:C, "expense", Transactions!D:D, A29)</f>
        <v>0</v>
      </c>
    </row>
    <row r="30">
      <c r="A30" s="17" t="s">
        <v>60</v>
      </c>
      <c r="B30" s="18">
        <f>SUMIFS(Transactions!E:E, Transactions!C:C, "expense", Transactions!D:D, A30)</f>
        <v>0</v>
      </c>
    </row>
    <row r="31">
      <c r="A31" s="17" t="s">
        <v>61</v>
      </c>
      <c r="B31" s="18">
        <f>SUMIFS(Transactions!E:E, Transactions!C:C, "expense", Transactions!D:D, A31)</f>
        <v>0</v>
      </c>
    </row>
    <row r="32">
      <c r="A32" s="17" t="s">
        <v>17</v>
      </c>
      <c r="B32" s="18">
        <f>SUMIFS(Transactions!E:E, Transactions!C:C, "expense", Transactions!D:D, A32)</f>
        <v>0</v>
      </c>
    </row>
    <row r="33">
      <c r="A33" s="17" t="s">
        <v>62</v>
      </c>
      <c r="B33" s="18">
        <f>SUMIFS(Transactions!E:E, Transactions!C:C, "expense", Transactions!D:D, A33)</f>
        <v>0</v>
      </c>
    </row>
    <row r="34">
      <c r="A34" s="17" t="s">
        <v>63</v>
      </c>
      <c r="B34" s="18">
        <f>SUMIFS(Transactions!E:E, Transactions!C:C, "expense", Transactions!D:D, A34)</f>
        <v>0</v>
      </c>
    </row>
    <row r="35">
      <c r="A35" s="17" t="s">
        <v>64</v>
      </c>
      <c r="B35" s="18">
        <f>SUMIFS(Transactions!E:E, Transactions!C:C, "expense", Transactions!D:D, A35)</f>
        <v>0</v>
      </c>
    </row>
    <row r="36">
      <c r="A36" s="17" t="s">
        <v>65</v>
      </c>
      <c r="B36" s="18">
        <f>SUMIFS(Transactions!E:E, Transactions!C:C, "expense", Transactions!D:D, A36)</f>
        <v>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H2"/>
    <mergeCell ref="A4:C4"/>
  </mergeCells>
  <conditionalFormatting sqref="H11:H20">
    <cfRule type="cellIs" dxfId="0" priority="1" stopIfTrue="1" operator="equal">
      <formula>"OVER BUDGET"</formula>
    </cfRule>
  </conditionalFormatting>
  <conditionalFormatting sqref="H11:H20">
    <cfRule type="cellIs" dxfId="1" priority="2" stopIfTrue="1" operator="equal">
      <formula>"LOW"</formula>
    </cfRule>
  </conditionalFormatting>
  <conditionalFormatting sqref="H11:H20">
    <cfRule type="cellIs" dxfId="2" priority="3" stopIfTrue="1" operator="equal">
      <formula>"GOOD"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25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</row>
    <row r="2">
      <c r="A2" s="2" t="s">
        <v>12</v>
      </c>
      <c r="B2" s="3">
        <v>46226.0</v>
      </c>
      <c r="C2" s="2" t="s">
        <v>16</v>
      </c>
      <c r="D2" s="2" t="s">
        <v>17</v>
      </c>
      <c r="E2" s="2">
        <v>3.0E7</v>
      </c>
      <c r="F2" s="2" t="s">
        <v>17</v>
      </c>
      <c r="G2" s="2" t="s">
        <v>18</v>
      </c>
      <c r="H2" s="2" t="s">
        <v>19</v>
      </c>
    </row>
    <row r="3">
      <c r="A3" s="2" t="s">
        <v>21</v>
      </c>
      <c r="B3" s="3">
        <v>46226.0</v>
      </c>
      <c r="C3" s="2" t="s">
        <v>22</v>
      </c>
      <c r="D3" s="2" t="s">
        <v>15</v>
      </c>
      <c r="E3" s="2">
        <v>200000.0</v>
      </c>
      <c r="F3" s="2" t="s">
        <v>25</v>
      </c>
      <c r="G3" s="2" t="s">
        <v>26</v>
      </c>
      <c r="H3" s="2" t="s">
        <v>26</v>
      </c>
    </row>
    <row r="4">
      <c r="A4" s="2" t="s">
        <v>28</v>
      </c>
      <c r="B4" s="3">
        <v>46227.0</v>
      </c>
      <c r="C4" s="2" t="s">
        <v>22</v>
      </c>
      <c r="D4" s="2" t="s">
        <v>15</v>
      </c>
      <c r="E4" s="2">
        <v>200000.0</v>
      </c>
      <c r="F4" s="2" t="s">
        <v>30</v>
      </c>
      <c r="G4" s="2" t="s">
        <v>31</v>
      </c>
      <c r="H4" s="2" t="s">
        <v>31</v>
      </c>
    </row>
    <row r="5">
      <c r="A5" s="2" t="s">
        <v>32</v>
      </c>
      <c r="B5" s="3">
        <v>46228.0</v>
      </c>
      <c r="C5" s="2" t="s">
        <v>22</v>
      </c>
      <c r="D5" s="2" t="s">
        <v>15</v>
      </c>
      <c r="E5" s="2">
        <v>2.5E7</v>
      </c>
      <c r="F5" s="2" t="s">
        <v>33</v>
      </c>
      <c r="G5" s="2" t="s">
        <v>34</v>
      </c>
      <c r="H5" s="2" t="s">
        <v>34</v>
      </c>
    </row>
    <row r="6">
      <c r="A6" s="2" t="s">
        <v>35</v>
      </c>
      <c r="B6" s="3">
        <v>46227.0</v>
      </c>
      <c r="C6" s="2" t="s">
        <v>16</v>
      </c>
      <c r="D6" s="2" t="s">
        <v>17</v>
      </c>
      <c r="E6" s="2">
        <v>5.0E7</v>
      </c>
      <c r="F6" s="2" t="s">
        <v>36</v>
      </c>
      <c r="G6" s="2" t="s">
        <v>37</v>
      </c>
      <c r="H6" s="2" t="s">
        <v>37</v>
      </c>
    </row>
    <row r="7">
      <c r="A7" s="2" t="s">
        <v>38</v>
      </c>
      <c r="B7" s="3">
        <v>46227.0</v>
      </c>
      <c r="C7" s="2" t="s">
        <v>22</v>
      </c>
      <c r="D7" s="2" t="s">
        <v>27</v>
      </c>
      <c r="E7" s="2">
        <v>250000.0</v>
      </c>
      <c r="F7" s="2" t="s">
        <v>39</v>
      </c>
      <c r="G7" s="2" t="s">
        <v>40</v>
      </c>
      <c r="H7" s="2" t="s">
        <v>40</v>
      </c>
    </row>
    <row r="8">
      <c r="B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2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9</v>
      </c>
      <c r="H1" s="1" t="s">
        <v>11</v>
      </c>
    </row>
    <row r="2">
      <c r="A2" s="2" t="s">
        <v>13</v>
      </c>
      <c r="B2" s="2" t="s">
        <v>14</v>
      </c>
      <c r="C2" s="2" t="s">
        <v>15</v>
      </c>
      <c r="D2" s="2">
        <v>5.0E7</v>
      </c>
      <c r="E2" s="3">
        <v>46204.0</v>
      </c>
      <c r="F2" s="3">
        <v>46234.0</v>
      </c>
      <c r="G2" s="2" t="s">
        <v>20</v>
      </c>
      <c r="H2" s="2" t="s">
        <v>20</v>
      </c>
    </row>
    <row r="3">
      <c r="A3" s="2" t="s">
        <v>23</v>
      </c>
      <c r="B3" s="2" t="s">
        <v>24</v>
      </c>
      <c r="C3" s="2" t="s">
        <v>27</v>
      </c>
      <c r="D3" s="2">
        <v>5000000.0</v>
      </c>
      <c r="E3" s="3">
        <v>46204.0</v>
      </c>
      <c r="F3" s="3">
        <v>46234.0</v>
      </c>
      <c r="G3" s="2" t="s">
        <v>29</v>
      </c>
      <c r="H3" s="2" t="s">
        <v>29</v>
      </c>
    </row>
    <row r="4">
      <c r="D4" s="3"/>
    </row>
    <row r="5">
      <c r="E5" s="3"/>
      <c r="F5" s="3"/>
    </row>
  </sheetData>
  <drawing r:id="rId1"/>
</worksheet>
</file>